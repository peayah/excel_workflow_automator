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KPIs" sheetId="1" state="visible" r:id="rId1"/>
    <sheet name="Sales Analysis" sheetId="2" state="visible" r:id="rId2"/>
    <sheet name="Chart Data" sheetId="3" state="hidden" r:id="rId3"/>
    <sheet name="Observ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22222"/>
      <sz val="28"/>
    </font>
    <font>
      <name val="Calibri"/>
      <b val="1"/>
      <color rgb="00222222"/>
      <sz val="18"/>
    </font>
    <font>
      <name val="Calibri"/>
      <b val="1"/>
      <color rgb="00222222"/>
      <sz val="14"/>
    </font>
    <font>
      <name val="Calibri"/>
      <color rgb="0022222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plotArea>
      <barChart>
        <barDir val="bar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Data'!$A$2:$A$10</f>
            </numRef>
          </cat>
          <val>
            <numRef>
              <f>'Chart 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out"/>
        <minorTickMark val="none"/>
        <tickLblPos val="nextTo"/>
        <crossAx val="10"/>
        <majorUnit val="2500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plotArea>
      <lineChart>
        <grouping val="standard"/>
        <ser>
          <idx val="0"/>
          <order val="0"/>
          <tx>
            <strRef>
              <f>'Chart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Data'!$D$2:$D$4</f>
            </numRef>
          </cat>
          <val>
            <numRef>
              <f>'Chart Data'!$E$2:$E$4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nextTo"/>
        <crossAx val="10"/>
        <majorUnit val="2500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plotArea>
      <doughnutChart>
        <varyColors val="1"/>
        <ser>
          <idx val="0"/>
          <order val="0"/>
          <tx>
            <strRef>
              <f>'Chart Data'!H1</f>
            </strRef>
          </tx>
          <spPr>
            <a:ln>
              <a:prstDash val="solid"/>
            </a:ln>
          </spPr>
          <cat>
            <numRef>
              <f>'Chart Data'!$G$2:$G$5</f>
            </numRef>
          </cat>
          <val>
            <numRef>
              <f>'Chart Data'!$H$2:$H$5</f>
            </numRef>
          </val>
        </ser>
        <firstSliceAng val="0"/>
        <holeSize val="45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plotArea>
      <scatterChart>
        <ser>
          <idx val="0"/>
          <order val="0"/>
          <tx>
            <v>Astoria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Data'!$M$2:$M$92</f>
            </numRef>
          </xVal>
          <yVal>
            <numRef>
              <f>'Chart Data'!$N$2:$N$92</f>
            </numRef>
          </yVal>
        </ser>
        <ser>
          <idx val="1"/>
          <order val="1"/>
          <tx>
            <v>Hell's Kitchen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Data'!$P$2:$P$92</f>
            </numRef>
          </xVal>
          <yVal>
            <numRef>
              <f>'Chart Data'!$Q$2:$Q$92</f>
            </numRef>
          </yVal>
        </ser>
        <ser>
          <idx val="2"/>
          <order val="2"/>
          <tx>
            <v>Lower Manhattan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Data'!$S$2:$S$92</f>
            </numRef>
          </xVal>
          <yVal>
            <numRef>
              <f>'Chart Data'!$T$2:$T$92</f>
            </numRef>
          </yVal>
        </ser>
        <axId val="10"/>
        <axId val="20"/>
      </scatterChart>
      <valAx>
        <axId val="10"/>
        <scaling>
          <orientation val="minMax"/>
          <max val="412"/>
          <min val="132"/>
        </scaling>
        <delete val="0"/>
        <axPos val="l"/>
        <majorTickMark val="out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'Chart Data'!X2</f>
            </strRef>
          </tx>
          <spPr>
            <a:ln>
              <a:prstDash val="solid"/>
            </a:ln>
          </spPr>
          <cat>
            <numRef>
              <f>'Chart Data'!$V$3:$W$93</f>
            </numRef>
          </cat>
          <val>
            <numRef>
              <f>'Chart Data'!$X$3:$X$93</f>
            </numRef>
          </val>
        </ser>
        <ser>
          <idx val="1"/>
          <order val="1"/>
          <tx>
            <strRef>
              <f>'Chart Data'!Y2</f>
            </strRef>
          </tx>
          <spPr>
            <a:ln>
              <a:prstDash val="solid"/>
            </a:ln>
          </spPr>
          <cat>
            <numRef>
              <f>'Chart Data'!$V$3:$W$93</f>
            </numRef>
          </cat>
          <val>
            <numRef>
              <f>'Chart Data'!$Y$3:$Y$93</f>
            </numRef>
          </val>
        </ser>
        <ser>
          <idx val="2"/>
          <order val="2"/>
          <tx>
            <strRef>
              <f>'Chart Data'!Z2</f>
            </strRef>
          </tx>
          <spPr>
            <a:ln>
              <a:prstDash val="solid"/>
            </a:ln>
          </spPr>
          <cat>
            <numRef>
              <f>'Chart Data'!$V$3:$W$93</f>
            </numRef>
          </cat>
          <val>
            <numRef>
              <f>'Chart Data'!$Z$3:$Z$93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7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10</row>
      <rowOff>0</rowOff>
    </from>
    <ext cx="122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0" customHeight="1">
      <c r="A1" t="inlineStr">
        <is>
          <t>14 September, 2026</t>
        </is>
      </c>
    </row>
    <row r="2" ht="60" customHeight="1">
      <c r="A2" s="1" t="inlineStr">
        <is>
          <t>Sales Performance Report</t>
        </is>
      </c>
    </row>
    <row r="3" ht="36" customHeight="1">
      <c r="A3" s="2" t="inlineStr">
        <is>
          <t>April – June 2023</t>
        </is>
      </c>
    </row>
    <row r="4" ht="30" customHeight="1">
      <c r="A4" t="inlineStr"/>
    </row>
    <row r="5" ht="20" customHeight="1">
      <c r="A5" s="3" t="inlineStr">
        <is>
          <t>TOTAL REVENUE</t>
        </is>
      </c>
      <c r="B5" s="3" t="n"/>
      <c r="C5" s="3" t="inlineStr">
        <is>
          <t>TRANSACTIONS</t>
        </is>
      </c>
      <c r="D5" s="3" t="n"/>
      <c r="E5" s="3" t="inlineStr">
        <is>
          <t>AVG TRANSACTION</t>
        </is>
      </c>
    </row>
    <row r="6" ht="20" customHeight="1">
      <c r="A6" s="4" t="inlineStr">
        <is>
          <t>$442,154.72</t>
        </is>
      </c>
      <c r="B6" s="4" t="n"/>
      <c r="C6" s="4" t="n">
        <v>73285</v>
      </c>
      <c r="D6" s="4" t="n"/>
      <c r="E6" s="4" t="inlineStr">
        <is>
          <t>$6.03</t>
        </is>
      </c>
    </row>
    <row r="7" ht="30" customHeight="1">
      <c r="A7" t="inlineStr"/>
    </row>
    <row r="8" ht="20" customHeight="1">
      <c r="A8" s="3" t="inlineStr">
        <is>
          <t>BEST LOCATION</t>
        </is>
      </c>
      <c r="B8" s="3" t="n"/>
      <c r="C8" s="3" t="inlineStr">
        <is>
          <t xml:space="preserve">BEST PRODUCT </t>
        </is>
      </c>
      <c r="D8" s="3" t="n"/>
      <c r="E8" s="3" t="inlineStr">
        <is>
          <t>PEAK PERIOD</t>
        </is>
      </c>
    </row>
    <row r="9" ht="20" customHeight="1">
      <c r="A9" s="4" t="inlineStr">
        <is>
          <t>Hell's Kitchen</t>
        </is>
      </c>
      <c r="B9" s="4" t="n"/>
      <c r="C9" s="4" t="inlineStr">
        <is>
          <t>Barista Espresso</t>
        </is>
      </c>
      <c r="D9" s="4" t="n"/>
      <c r="E9" s="4" t="inlineStr">
        <is>
          <t>10:00 - 11:00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60" customHeight="1">
      <c r="A1" s="2" t="inlineStr">
        <is>
          <t>Sales Analysis</t>
        </is>
      </c>
    </row>
    <row r="2" ht="36" customHeight="1">
      <c r="A2" s="3" t="inlineStr">
        <is>
          <t>Revenue performance across products and categories</t>
        </is>
      </c>
    </row>
    <row r="3" ht="30" customHeight="1">
      <c r="A3" t="inlineStr"/>
    </row>
    <row r="4" ht="36" customHeight="1">
      <c r="A4" s="5" t="inlineStr">
        <is>
          <t>Revenue by Product Category</t>
        </is>
      </c>
      <c r="F4" s="5" t="inlineStr">
        <is>
          <t>Revenue by Month</t>
        </is>
      </c>
    </row>
    <row r="5" ht="283.5" customHeight="1"/>
    <row r="6" ht="30" customHeight="1">
      <c r="A6" t="inlineStr"/>
    </row>
    <row r="7" ht="36" customHeight="1">
      <c r="A7" s="5" t="inlineStr">
        <is>
          <t>Revenue by Time of Day</t>
        </is>
      </c>
      <c r="F7" s="5" t="inlineStr">
        <is>
          <t>Transactions per Day vs Revenue</t>
        </is>
      </c>
    </row>
    <row r="8" ht="283.5" customHeight="1"/>
    <row r="9" ht="30" customHeight="1">
      <c r="A9" t="inlineStr"/>
    </row>
    <row r="10" ht="36" customHeight="1">
      <c r="A10" s="3" t="inlineStr">
        <is>
          <t>Comparative Location Performance Grouped by Hour</t>
        </is>
      </c>
    </row>
    <row r="11" ht="255.15" customHeight="1"/>
  </sheetData>
  <mergeCells count="3">
    <mergeCell ref="A1:I1"/>
    <mergeCell ref="A2:I2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Revenue</t>
        </is>
      </c>
      <c r="D1" t="inlineStr">
        <is>
          <t>Month</t>
        </is>
      </c>
      <c r="E1" t="inlineStr">
        <is>
          <t>Revenue</t>
        </is>
      </c>
      <c r="G1" t="inlineStr">
        <is>
          <t>Time Period</t>
        </is>
      </c>
      <c r="H1" t="inlineStr">
        <is>
          <t>Revenue</t>
        </is>
      </c>
      <c r="M1" t="inlineStr">
        <is>
          <t>Astoria Transactions</t>
        </is>
      </c>
      <c r="N1" t="inlineStr">
        <is>
          <t>Astoria Revenue</t>
        </is>
      </c>
      <c r="P1" t="inlineStr">
        <is>
          <t>Hell's Kitchen Transactions</t>
        </is>
      </c>
      <c r="Q1" t="inlineStr">
        <is>
          <t>Hell's Kitchen Revenue</t>
        </is>
      </c>
      <c r="S1" t="inlineStr">
        <is>
          <t>Lower Manhattan Transactions</t>
        </is>
      </c>
      <c r="T1" t="inlineStr">
        <is>
          <t>Lower Manhattan Revenue</t>
        </is>
      </c>
    </row>
    <row r="2">
      <c r="A2" t="inlineStr">
        <is>
          <t>Coffee</t>
        </is>
      </c>
      <c r="B2" t="n">
        <v>171123.05</v>
      </c>
      <c r="D2" t="inlineStr">
        <is>
          <t>April</t>
        </is>
      </c>
      <c r="E2" t="n">
        <v>118941.08</v>
      </c>
      <c r="G2" t="inlineStr">
        <is>
          <t>Morning</t>
        </is>
      </c>
      <c r="H2" t="n">
        <v>159226.42</v>
      </c>
      <c r="M2" t="n">
        <v>262</v>
      </c>
      <c r="N2" t="n">
        <v>1316.5</v>
      </c>
      <c r="P2" t="n">
        <v>230</v>
      </c>
      <c r="Q2" t="n">
        <v>1215.35</v>
      </c>
      <c r="S2" t="n">
        <v>219</v>
      </c>
      <c r="T2" t="n">
        <v>1168.05</v>
      </c>
      <c r="V2" t="inlineStr">
        <is>
          <t>Hour</t>
        </is>
      </c>
      <c r="W2" t="inlineStr">
        <is>
          <t>Day</t>
        </is>
      </c>
      <c r="X2" t="inlineStr">
        <is>
          <t>Astoria</t>
        </is>
      </c>
      <c r="Y2" t="inlineStr">
        <is>
          <t>Hell's Kitchen</t>
        </is>
      </c>
      <c r="Z2" t="inlineStr">
        <is>
          <t>Lower Manhattan</t>
        </is>
      </c>
    </row>
    <row r="3">
      <c r="A3" t="inlineStr">
        <is>
          <t>Tea</t>
        </is>
      </c>
      <c r="B3" t="n">
        <v>124139.95</v>
      </c>
      <c r="D3" t="inlineStr">
        <is>
          <t>May</t>
        </is>
      </c>
      <c r="E3" t="n">
        <v>156727.76</v>
      </c>
      <c r="G3" t="inlineStr">
        <is>
          <t>Lunch</t>
        </is>
      </c>
      <c r="H3" t="n">
        <v>55383.17</v>
      </c>
      <c r="M3" t="n">
        <v>244</v>
      </c>
      <c r="N3" t="n">
        <v>1351.35</v>
      </c>
      <c r="P3" t="n">
        <v>245</v>
      </c>
      <c r="Q3" t="n">
        <v>1222.3</v>
      </c>
      <c r="S3" t="n">
        <v>194</v>
      </c>
      <c r="T3" t="n">
        <v>1002.2</v>
      </c>
      <c r="V3" t="inlineStr">
        <is>
          <t>8:00</t>
        </is>
      </c>
      <c r="W3" t="inlineStr">
        <is>
          <t>M</t>
        </is>
      </c>
      <c r="X3" t="n">
        <v>1894.38</v>
      </c>
      <c r="Y3" t="n">
        <v>2070.5</v>
      </c>
      <c r="Z3" t="n">
        <v>2555.15</v>
      </c>
    </row>
    <row r="4">
      <c r="A4" t="inlineStr">
        <is>
          <t>Bakery</t>
        </is>
      </c>
      <c r="B4" t="n">
        <v>51838.49</v>
      </c>
      <c r="D4" t="inlineStr">
        <is>
          <t>June</t>
        </is>
      </c>
      <c r="E4" t="n">
        <v>166485.88</v>
      </c>
      <c r="G4" t="inlineStr">
        <is>
          <t>Afternoon</t>
        </is>
      </c>
      <c r="H4" t="n">
        <v>52550.84</v>
      </c>
      <c r="M4" t="n">
        <v>258</v>
      </c>
      <c r="N4" t="n">
        <v>1333.4</v>
      </c>
      <c r="P4" t="n">
        <v>226</v>
      </c>
      <c r="Q4" t="n">
        <v>1144</v>
      </c>
      <c r="S4" t="n">
        <v>210</v>
      </c>
      <c r="T4" t="n">
        <v>1127.55</v>
      </c>
      <c r="V4" t="inlineStr"/>
      <c r="W4" t="inlineStr">
        <is>
          <t>T</t>
        </is>
      </c>
      <c r="X4" t="n">
        <v>1934.65</v>
      </c>
      <c r="Y4" t="n">
        <v>3097.65</v>
      </c>
      <c r="Z4" t="n">
        <v>2835.66</v>
      </c>
    </row>
    <row r="5">
      <c r="A5" t="inlineStr">
        <is>
          <t>Drinking Chocolate</t>
        </is>
      </c>
      <c r="B5" t="n">
        <v>45692.5</v>
      </c>
      <c r="G5" t="inlineStr">
        <is>
          <t>Evening</t>
        </is>
      </c>
      <c r="H5" t="n">
        <v>174994.29</v>
      </c>
      <c r="M5" t="n">
        <v>235</v>
      </c>
      <c r="N5" t="n">
        <v>1150.75</v>
      </c>
      <c r="P5" t="n">
        <v>222</v>
      </c>
      <c r="Q5" t="n">
        <v>1084.55</v>
      </c>
      <c r="S5" t="n">
        <v>210</v>
      </c>
      <c r="T5" t="n">
        <v>1092</v>
      </c>
      <c r="V5" t="inlineStr"/>
      <c r="W5" t="inlineStr">
        <is>
          <t>W</t>
        </is>
      </c>
      <c r="X5" t="n">
        <v>2345.64</v>
      </c>
      <c r="Y5" t="n">
        <v>3130.16</v>
      </c>
      <c r="Z5" t="n">
        <v>2537.25</v>
      </c>
    </row>
    <row r="6">
      <c r="A6" t="inlineStr">
        <is>
          <t>Coffee beans</t>
        </is>
      </c>
      <c r="B6" t="n">
        <v>25506.3</v>
      </c>
      <c r="M6" t="n">
        <v>242</v>
      </c>
      <c r="N6" t="n">
        <v>1242.15</v>
      </c>
      <c r="P6" t="n">
        <v>217</v>
      </c>
      <c r="Q6" t="n">
        <v>1108.3</v>
      </c>
      <c r="S6" t="n">
        <v>218</v>
      </c>
      <c r="T6" t="n">
        <v>1202.25</v>
      </c>
      <c r="V6" t="inlineStr"/>
      <c r="W6" t="inlineStr">
        <is>
          <t>T</t>
        </is>
      </c>
      <c r="X6" t="n">
        <v>2039.23</v>
      </c>
      <c r="Y6" t="n">
        <v>2667.7</v>
      </c>
      <c r="Z6" t="n">
        <v>2623.78</v>
      </c>
    </row>
    <row r="7">
      <c r="A7" t="inlineStr">
        <is>
          <t>Branded</t>
        </is>
      </c>
      <c r="B7" t="n">
        <v>8681</v>
      </c>
      <c r="M7" t="n">
        <v>189</v>
      </c>
      <c r="N7" t="n">
        <v>1002.95</v>
      </c>
      <c r="P7" t="n">
        <v>237</v>
      </c>
      <c r="Q7" t="n">
        <v>1167</v>
      </c>
      <c r="S7" t="n">
        <v>210</v>
      </c>
      <c r="T7" t="n">
        <v>1080.25</v>
      </c>
      <c r="V7" t="inlineStr"/>
      <c r="W7" t="inlineStr">
        <is>
          <t>F</t>
        </is>
      </c>
      <c r="X7" t="n">
        <v>2151.03</v>
      </c>
      <c r="Y7" t="n">
        <v>2812.73</v>
      </c>
      <c r="Z7" t="n">
        <v>2408.58</v>
      </c>
    </row>
    <row r="8">
      <c r="A8" t="inlineStr">
        <is>
          <t>Loose Tea</t>
        </is>
      </c>
      <c r="B8" t="n">
        <v>6994.95</v>
      </c>
      <c r="M8" t="n">
        <v>219</v>
      </c>
      <c r="N8" t="n">
        <v>1138.6</v>
      </c>
      <c r="P8" t="n">
        <v>256</v>
      </c>
      <c r="Q8" t="n">
        <v>1529.45</v>
      </c>
      <c r="S8" t="n">
        <v>142</v>
      </c>
      <c r="T8" t="n">
        <v>1014.75</v>
      </c>
      <c r="V8" t="inlineStr"/>
      <c r="W8" t="inlineStr">
        <is>
          <t>S</t>
        </is>
      </c>
      <c r="X8" t="n">
        <v>1774.58</v>
      </c>
      <c r="Y8" t="n">
        <v>2397.05</v>
      </c>
      <c r="Z8" t="n">
        <v>2672.3</v>
      </c>
    </row>
    <row r="9">
      <c r="A9" t="inlineStr">
        <is>
          <t>Flavours</t>
        </is>
      </c>
      <c r="B9" t="n">
        <v>5332</v>
      </c>
      <c r="M9" t="n">
        <v>231</v>
      </c>
      <c r="N9" t="n">
        <v>1631.93</v>
      </c>
      <c r="P9" t="n">
        <v>232</v>
      </c>
      <c r="Q9" t="n">
        <v>1427.78</v>
      </c>
      <c r="S9" t="n">
        <v>225</v>
      </c>
      <c r="T9" t="n">
        <v>1513.35</v>
      </c>
      <c r="V9" t="inlineStr"/>
      <c r="W9" t="inlineStr">
        <is>
          <t>S</t>
        </is>
      </c>
      <c r="X9" t="n">
        <v>2223.85</v>
      </c>
      <c r="Y9" t="n">
        <v>3139.06</v>
      </c>
      <c r="Z9" t="n">
        <v>2464.02</v>
      </c>
    </row>
    <row r="10">
      <c r="A10" t="inlineStr">
        <is>
          <t>Packaged Chocolate</t>
        </is>
      </c>
      <c r="B10" t="n">
        <v>2846.48</v>
      </c>
      <c r="M10" t="n">
        <v>191</v>
      </c>
      <c r="N10" t="n">
        <v>1192.18</v>
      </c>
      <c r="P10" t="n">
        <v>245</v>
      </c>
      <c r="Q10" t="n">
        <v>1431.4</v>
      </c>
      <c r="S10" t="n">
        <v>211</v>
      </c>
      <c r="T10" t="n">
        <v>1465.3</v>
      </c>
      <c r="V10" t="inlineStr">
        <is>
          <t>9:00</t>
        </is>
      </c>
      <c r="W10" t="inlineStr">
        <is>
          <t>M</t>
        </is>
      </c>
      <c r="X10" t="n">
        <v>2101.05</v>
      </c>
      <c r="Y10" t="n">
        <v>2685.3</v>
      </c>
      <c r="Z10" t="n">
        <v>2345</v>
      </c>
    </row>
    <row r="11">
      <c r="M11" t="n">
        <v>212</v>
      </c>
      <c r="N11" t="n">
        <v>1355.45</v>
      </c>
      <c r="P11" t="n">
        <v>226</v>
      </c>
      <c r="Q11" t="n">
        <v>1411.05</v>
      </c>
      <c r="S11" t="n">
        <v>230</v>
      </c>
      <c r="T11" t="n">
        <v>1453.8</v>
      </c>
      <c r="V11" t="inlineStr"/>
      <c r="W11" t="inlineStr">
        <is>
          <t>T</t>
        </is>
      </c>
      <c r="X11" t="n">
        <v>1838</v>
      </c>
      <c r="Y11" t="n">
        <v>3119.7</v>
      </c>
      <c r="Z11" t="n">
        <v>2828.29</v>
      </c>
    </row>
    <row r="12">
      <c r="M12" t="n">
        <v>215</v>
      </c>
      <c r="N12" t="n">
        <v>1295</v>
      </c>
      <c r="P12" t="n">
        <v>227</v>
      </c>
      <c r="Q12" t="n">
        <v>1362.03</v>
      </c>
      <c r="S12" t="n">
        <v>205</v>
      </c>
      <c r="T12" t="n">
        <v>1195.83</v>
      </c>
      <c r="V12" t="inlineStr"/>
      <c r="W12" t="inlineStr">
        <is>
          <t>W</t>
        </is>
      </c>
      <c r="X12" t="n">
        <v>2546.55</v>
      </c>
      <c r="Y12" t="n">
        <v>3286.8</v>
      </c>
      <c r="Z12" t="n">
        <v>2399.8</v>
      </c>
    </row>
    <row r="13">
      <c r="M13" t="n">
        <v>183</v>
      </c>
      <c r="N13" t="n">
        <v>958.63</v>
      </c>
      <c r="P13" t="n">
        <v>249</v>
      </c>
      <c r="Q13" t="n">
        <v>1569</v>
      </c>
      <c r="S13" t="n">
        <v>227</v>
      </c>
      <c r="T13" t="n">
        <v>1512.55</v>
      </c>
      <c r="V13" t="inlineStr"/>
      <c r="W13" t="inlineStr">
        <is>
          <t>T</t>
        </is>
      </c>
      <c r="X13" t="n">
        <v>1795</v>
      </c>
      <c r="Y13" t="n">
        <v>2585.96</v>
      </c>
      <c r="Z13" t="n">
        <v>2357.6</v>
      </c>
    </row>
    <row r="14">
      <c r="M14" t="n">
        <v>203</v>
      </c>
      <c r="N14" t="n">
        <v>1069.7</v>
      </c>
      <c r="P14" t="n">
        <v>256</v>
      </c>
      <c r="Q14" t="n">
        <v>1797.4</v>
      </c>
      <c r="S14" t="n">
        <v>186</v>
      </c>
      <c r="T14" t="n">
        <v>1247.43</v>
      </c>
      <c r="V14" t="inlineStr"/>
      <c r="W14" t="inlineStr">
        <is>
          <t>F</t>
        </is>
      </c>
      <c r="X14" t="n">
        <v>2291.16</v>
      </c>
      <c r="Y14" t="n">
        <v>3161.95</v>
      </c>
      <c r="Z14" t="n">
        <v>2992.39</v>
      </c>
    </row>
    <row r="15">
      <c r="M15" t="n">
        <v>166</v>
      </c>
      <c r="N15" t="n">
        <v>1195.83</v>
      </c>
      <c r="P15" t="n">
        <v>231</v>
      </c>
      <c r="Q15" t="n">
        <v>1818.46</v>
      </c>
      <c r="S15" t="n">
        <v>152</v>
      </c>
      <c r="T15" t="n">
        <v>1116.96</v>
      </c>
      <c r="V15" t="inlineStr"/>
      <c r="W15" t="inlineStr">
        <is>
          <t>S</t>
        </is>
      </c>
      <c r="X15" t="n">
        <v>1805.4</v>
      </c>
      <c r="Y15" t="n">
        <v>2976.9</v>
      </c>
      <c r="Z15" t="n">
        <v>2595.7</v>
      </c>
    </row>
    <row r="16">
      <c r="M16" t="n">
        <v>246</v>
      </c>
      <c r="N16" t="n">
        <v>1622.66</v>
      </c>
      <c r="P16" t="n">
        <v>204</v>
      </c>
      <c r="Q16" t="n">
        <v>1229.08</v>
      </c>
      <c r="S16" t="n">
        <v>209</v>
      </c>
      <c r="T16" t="n">
        <v>1270.05</v>
      </c>
      <c r="V16" t="inlineStr"/>
      <c r="W16" t="inlineStr">
        <is>
          <t>S</t>
        </is>
      </c>
      <c r="X16" t="n">
        <v>2110.33</v>
      </c>
      <c r="Y16" t="n">
        <v>3025.98</v>
      </c>
      <c r="Z16" t="n">
        <v>2907.99</v>
      </c>
    </row>
    <row r="17">
      <c r="M17" t="n">
        <v>252</v>
      </c>
      <c r="N17" t="n">
        <v>1482.08</v>
      </c>
      <c r="P17" t="n">
        <v>245</v>
      </c>
      <c r="Q17" t="n">
        <v>1555.43</v>
      </c>
      <c r="S17" t="n">
        <v>243</v>
      </c>
      <c r="T17" t="n">
        <v>1462.88</v>
      </c>
      <c r="V17" t="inlineStr">
        <is>
          <t>10:00</t>
        </is>
      </c>
      <c r="W17" t="inlineStr">
        <is>
          <t>M</t>
        </is>
      </c>
      <c r="X17" t="n">
        <v>2252.8</v>
      </c>
      <c r="Y17" t="n">
        <v>2386.7</v>
      </c>
      <c r="Z17" t="n">
        <v>2659.8</v>
      </c>
    </row>
    <row r="18">
      <c r="M18" t="n">
        <v>237</v>
      </c>
      <c r="N18" t="n">
        <v>1543.6</v>
      </c>
      <c r="P18" t="n">
        <v>150</v>
      </c>
      <c r="Q18" t="n">
        <v>1638.45</v>
      </c>
      <c r="S18" t="n">
        <v>192</v>
      </c>
      <c r="T18" t="n">
        <v>1150.05</v>
      </c>
      <c r="V18" t="inlineStr"/>
      <c r="W18" t="inlineStr">
        <is>
          <t>T</t>
        </is>
      </c>
      <c r="X18" t="n">
        <v>2160.26</v>
      </c>
      <c r="Y18" t="n">
        <v>3426.48</v>
      </c>
      <c r="Z18" t="n">
        <v>2912.79</v>
      </c>
    </row>
    <row r="19">
      <c r="M19" t="n">
        <v>233</v>
      </c>
      <c r="N19" t="n">
        <v>1608.79</v>
      </c>
      <c r="P19" t="n">
        <v>246</v>
      </c>
      <c r="Q19" t="n">
        <v>1580.6</v>
      </c>
      <c r="S19" t="n">
        <v>180</v>
      </c>
      <c r="T19" t="n">
        <v>1164.68</v>
      </c>
      <c r="V19" t="inlineStr"/>
      <c r="W19" t="inlineStr">
        <is>
          <t>W</t>
        </is>
      </c>
      <c r="X19" t="n">
        <v>2322.5</v>
      </c>
      <c r="Y19" t="n">
        <v>3292.35</v>
      </c>
      <c r="Z19" t="n">
        <v>2797.48</v>
      </c>
    </row>
    <row r="20">
      <c r="M20" t="n">
        <v>257</v>
      </c>
      <c r="N20" t="n">
        <v>1738.93</v>
      </c>
      <c r="P20" t="n">
        <v>223</v>
      </c>
      <c r="Q20" t="n">
        <v>1449.18</v>
      </c>
      <c r="S20" t="n">
        <v>200</v>
      </c>
      <c r="T20" t="n">
        <v>1130.2</v>
      </c>
      <c r="V20" t="inlineStr"/>
      <c r="W20" t="inlineStr">
        <is>
          <t>T</t>
        </is>
      </c>
      <c r="X20" t="n">
        <v>1949.75</v>
      </c>
      <c r="Y20" t="n">
        <v>2836.3</v>
      </c>
      <c r="Z20" t="n">
        <v>2867.13</v>
      </c>
    </row>
    <row r="21">
      <c r="M21" t="n">
        <v>189</v>
      </c>
      <c r="N21" t="n">
        <v>1163.95</v>
      </c>
      <c r="P21" t="n">
        <v>221</v>
      </c>
      <c r="Q21" t="n">
        <v>1317.4</v>
      </c>
      <c r="S21" t="n">
        <v>177</v>
      </c>
      <c r="T21" t="n">
        <v>1443.43</v>
      </c>
      <c r="V21" t="inlineStr"/>
      <c r="W21" t="inlineStr">
        <is>
          <t>F</t>
        </is>
      </c>
      <c r="X21" t="n">
        <v>2255.15</v>
      </c>
      <c r="Y21" t="n">
        <v>3201.31</v>
      </c>
      <c r="Z21" t="n">
        <v>2886.8</v>
      </c>
    </row>
    <row r="22">
      <c r="M22" t="n">
        <v>157</v>
      </c>
      <c r="N22" t="n">
        <v>1101.88</v>
      </c>
      <c r="P22" t="n">
        <v>254</v>
      </c>
      <c r="Q22" t="n">
        <v>1521.85</v>
      </c>
      <c r="S22" t="n">
        <v>173</v>
      </c>
      <c r="T22" t="n">
        <v>1381.65</v>
      </c>
      <c r="V22" t="inlineStr"/>
      <c r="W22" t="inlineStr">
        <is>
          <t>S</t>
        </is>
      </c>
      <c r="X22" t="n">
        <v>1978.4</v>
      </c>
      <c r="Y22" t="n">
        <v>3260.95</v>
      </c>
      <c r="Z22" t="n">
        <v>2903.28</v>
      </c>
    </row>
    <row r="23">
      <c r="M23" t="n">
        <v>243</v>
      </c>
      <c r="N23" t="n">
        <v>1291.95</v>
      </c>
      <c r="P23" t="n">
        <v>206</v>
      </c>
      <c r="Q23" t="n">
        <v>1035.45</v>
      </c>
      <c r="S23" t="n">
        <v>211</v>
      </c>
      <c r="T23" t="n">
        <v>1634.18</v>
      </c>
      <c r="V23" t="inlineStr"/>
      <c r="W23" t="inlineStr">
        <is>
          <t>S</t>
        </is>
      </c>
      <c r="X23" t="n">
        <v>2332.08</v>
      </c>
      <c r="Y23" t="n">
        <v>3083.43</v>
      </c>
      <c r="Z23" t="n">
        <v>2570.94</v>
      </c>
    </row>
    <row r="24">
      <c r="M24" t="n">
        <v>249</v>
      </c>
      <c r="N24" t="n">
        <v>1384.05</v>
      </c>
      <c r="P24" t="n">
        <v>263</v>
      </c>
      <c r="Q24" t="n">
        <v>1414.48</v>
      </c>
      <c r="S24" t="n">
        <v>197</v>
      </c>
      <c r="T24" t="n">
        <v>1522.76</v>
      </c>
      <c r="V24" t="inlineStr">
        <is>
          <t>11:00</t>
        </is>
      </c>
      <c r="W24" t="inlineStr">
        <is>
          <t>M</t>
        </is>
      </c>
      <c r="X24" t="n">
        <v>1689.8</v>
      </c>
      <c r="Y24" t="n">
        <v>2014.6</v>
      </c>
      <c r="Z24" t="n">
        <v>1287.95</v>
      </c>
    </row>
    <row r="25">
      <c r="M25" t="n">
        <v>292</v>
      </c>
      <c r="N25" t="n">
        <v>1539.8</v>
      </c>
      <c r="P25" t="n">
        <v>232</v>
      </c>
      <c r="Q25" t="n">
        <v>1166.75</v>
      </c>
      <c r="S25" t="n">
        <v>213</v>
      </c>
      <c r="T25" t="n">
        <v>1558.9</v>
      </c>
      <c r="V25" t="inlineStr"/>
      <c r="W25" t="inlineStr">
        <is>
          <t>T</t>
        </is>
      </c>
      <c r="X25" t="n">
        <v>1320.48</v>
      </c>
      <c r="Y25" t="n">
        <v>1422.81</v>
      </c>
      <c r="Z25" t="n">
        <v>1046.32</v>
      </c>
    </row>
    <row r="26">
      <c r="M26" t="n">
        <v>265</v>
      </c>
      <c r="N26" t="n">
        <v>1306.1</v>
      </c>
      <c r="P26" t="n">
        <v>242</v>
      </c>
      <c r="Q26" t="n">
        <v>1284.55</v>
      </c>
      <c r="S26" t="n">
        <v>213</v>
      </c>
      <c r="T26" t="n">
        <v>1664.35</v>
      </c>
      <c r="V26" t="inlineStr"/>
      <c r="W26" t="inlineStr">
        <is>
          <t>W</t>
        </is>
      </c>
      <c r="X26" t="n">
        <v>1434.6</v>
      </c>
      <c r="Y26" t="n">
        <v>1639.45</v>
      </c>
      <c r="Z26" t="n">
        <v>1342.3</v>
      </c>
    </row>
    <row r="27">
      <c r="M27" t="n">
        <v>282</v>
      </c>
      <c r="N27" t="n">
        <v>1447.5</v>
      </c>
      <c r="P27" t="n">
        <v>265</v>
      </c>
      <c r="Q27" t="n">
        <v>1427.5</v>
      </c>
      <c r="S27" t="n">
        <v>207</v>
      </c>
      <c r="T27" t="n">
        <v>1684.45</v>
      </c>
      <c r="V27" t="inlineStr"/>
      <c r="W27" t="inlineStr">
        <is>
          <t>T</t>
        </is>
      </c>
      <c r="X27" t="n">
        <v>1502.08</v>
      </c>
      <c r="Y27" t="n">
        <v>1643.08</v>
      </c>
      <c r="Z27" t="n">
        <v>1213.3</v>
      </c>
    </row>
    <row r="28">
      <c r="M28" t="n">
        <v>270</v>
      </c>
      <c r="N28" t="n">
        <v>1439.55</v>
      </c>
      <c r="P28" t="n">
        <v>262</v>
      </c>
      <c r="Q28" t="n">
        <v>1301.45</v>
      </c>
      <c r="S28" t="n">
        <v>239</v>
      </c>
      <c r="T28" t="n">
        <v>1686.1</v>
      </c>
      <c r="V28" t="inlineStr"/>
      <c r="W28" t="inlineStr">
        <is>
          <t>F</t>
        </is>
      </c>
      <c r="X28" t="n">
        <v>1268.8</v>
      </c>
      <c r="Y28" t="n">
        <v>1986.6</v>
      </c>
      <c r="Z28" t="n">
        <v>1130.99</v>
      </c>
    </row>
    <row r="29">
      <c r="M29" t="n">
        <v>237</v>
      </c>
      <c r="N29" t="n">
        <v>1172.7</v>
      </c>
      <c r="P29" t="n">
        <v>216</v>
      </c>
      <c r="Q29" t="n">
        <v>1089.95</v>
      </c>
      <c r="S29" t="n">
        <v>208</v>
      </c>
      <c r="T29" t="n">
        <v>1111.15</v>
      </c>
      <c r="V29" t="inlineStr"/>
      <c r="W29" t="inlineStr">
        <is>
          <t>S</t>
        </is>
      </c>
      <c r="X29" t="n">
        <v>1623.9</v>
      </c>
      <c r="Y29" t="n">
        <v>1540.6</v>
      </c>
      <c r="Z29" t="n">
        <v>1165.2</v>
      </c>
    </row>
    <row r="30">
      <c r="M30" t="n">
        <v>221</v>
      </c>
      <c r="N30" t="n">
        <v>1124.05</v>
      </c>
      <c r="P30" t="n">
        <v>166</v>
      </c>
      <c r="Q30" t="n">
        <v>892.55</v>
      </c>
      <c r="S30" t="n">
        <v>171</v>
      </c>
      <c r="T30" t="n">
        <v>936.9</v>
      </c>
      <c r="V30" t="inlineStr"/>
      <c r="W30" t="inlineStr">
        <is>
          <t>S</t>
        </is>
      </c>
      <c r="X30" t="n">
        <v>1170.58</v>
      </c>
      <c r="Y30" t="n">
        <v>1701.31</v>
      </c>
      <c r="Z30" t="n">
        <v>928.3</v>
      </c>
    </row>
    <row r="31">
      <c r="M31" t="n">
        <v>215</v>
      </c>
      <c r="N31" t="n">
        <v>1275.6</v>
      </c>
      <c r="P31" t="n">
        <v>186</v>
      </c>
      <c r="Q31" t="n">
        <v>1111.4</v>
      </c>
      <c r="S31" t="n">
        <v>191</v>
      </c>
      <c r="T31" t="n">
        <v>1165.33</v>
      </c>
      <c r="V31" t="inlineStr">
        <is>
          <t>12:00</t>
        </is>
      </c>
      <c r="W31" t="inlineStr">
        <is>
          <t>M</t>
        </is>
      </c>
      <c r="X31" t="n">
        <v>1487.3</v>
      </c>
      <c r="Y31" t="n">
        <v>1084.3</v>
      </c>
      <c r="Z31" t="n">
        <v>1192.1</v>
      </c>
    </row>
    <row r="32">
      <c r="M32" t="n">
        <v>323</v>
      </c>
      <c r="N32" t="n">
        <v>1657.65</v>
      </c>
      <c r="P32" t="n">
        <v>299</v>
      </c>
      <c r="Q32" t="n">
        <v>1598.4</v>
      </c>
      <c r="S32" t="n">
        <v>269</v>
      </c>
      <c r="T32" t="n">
        <v>1475.4</v>
      </c>
      <c r="V32" t="inlineStr"/>
      <c r="W32" t="inlineStr">
        <is>
          <t>T</t>
        </is>
      </c>
      <c r="X32" t="n">
        <v>1393</v>
      </c>
      <c r="Y32" t="n">
        <v>971.8</v>
      </c>
      <c r="Z32" t="n">
        <v>1145.69</v>
      </c>
    </row>
    <row r="33">
      <c r="M33" t="n">
        <v>324</v>
      </c>
      <c r="N33" t="n">
        <v>1758.45</v>
      </c>
      <c r="P33" t="n">
        <v>322</v>
      </c>
      <c r="Q33" t="n">
        <v>1590.55</v>
      </c>
      <c r="S33" t="n">
        <v>243</v>
      </c>
      <c r="T33" t="n">
        <v>1276.5</v>
      </c>
      <c r="V33" t="inlineStr"/>
      <c r="W33" t="inlineStr">
        <is>
          <t>W</t>
        </is>
      </c>
      <c r="X33" t="n">
        <v>1155.3</v>
      </c>
      <c r="Y33" t="n">
        <v>1086.5</v>
      </c>
      <c r="Z33" t="n">
        <v>1031.35</v>
      </c>
    </row>
    <row r="34">
      <c r="M34" t="n">
        <v>344</v>
      </c>
      <c r="N34" t="n">
        <v>1760.45</v>
      </c>
      <c r="P34" t="n">
        <v>318</v>
      </c>
      <c r="Q34" t="n">
        <v>1552.5</v>
      </c>
      <c r="S34" t="n">
        <v>259</v>
      </c>
      <c r="T34" t="n">
        <v>1401.65</v>
      </c>
      <c r="V34" t="inlineStr"/>
      <c r="W34" t="inlineStr">
        <is>
          <t>T</t>
        </is>
      </c>
      <c r="X34" t="n">
        <v>1610.8</v>
      </c>
      <c r="Y34" t="n">
        <v>1089.3</v>
      </c>
      <c r="Z34" t="n">
        <v>1236.65</v>
      </c>
    </row>
    <row r="35">
      <c r="M35" t="n">
        <v>321</v>
      </c>
      <c r="N35" t="n">
        <v>1709.85</v>
      </c>
      <c r="P35" t="n">
        <v>284</v>
      </c>
      <c r="Q35" t="n">
        <v>1448.55</v>
      </c>
      <c r="S35" t="n">
        <v>269</v>
      </c>
      <c r="T35" t="n">
        <v>1431.3</v>
      </c>
      <c r="V35" t="inlineStr"/>
      <c r="W35" t="inlineStr">
        <is>
          <t>F</t>
        </is>
      </c>
      <c r="X35" t="n">
        <v>1355.35</v>
      </c>
      <c r="Y35" t="n">
        <v>978.25</v>
      </c>
      <c r="Z35" t="n">
        <v>1116.14</v>
      </c>
    </row>
    <row r="36">
      <c r="M36" t="n">
        <v>330</v>
      </c>
      <c r="N36" t="n">
        <v>1726.65</v>
      </c>
      <c r="P36" t="n">
        <v>289</v>
      </c>
      <c r="Q36" t="n">
        <v>1445.7</v>
      </c>
      <c r="S36" t="n">
        <v>285</v>
      </c>
      <c r="T36" t="n">
        <v>1528.65</v>
      </c>
      <c r="V36" t="inlineStr"/>
      <c r="W36" t="inlineStr">
        <is>
          <t>S</t>
        </is>
      </c>
      <c r="X36" t="n">
        <v>1548.55</v>
      </c>
      <c r="Y36" t="n">
        <v>1084.85</v>
      </c>
      <c r="Z36" t="n">
        <v>1258.2</v>
      </c>
    </row>
    <row r="37">
      <c r="M37" t="n">
        <v>236</v>
      </c>
      <c r="N37" t="n">
        <v>1293.05</v>
      </c>
      <c r="P37" t="n">
        <v>284</v>
      </c>
      <c r="Q37" t="n">
        <v>1433.1</v>
      </c>
      <c r="S37" t="n">
        <v>280</v>
      </c>
      <c r="T37" t="n">
        <v>1479</v>
      </c>
      <c r="V37" t="inlineStr"/>
      <c r="W37" t="inlineStr">
        <is>
          <t>S</t>
        </is>
      </c>
      <c r="X37" t="n">
        <v>1419.9</v>
      </c>
      <c r="Y37" t="n">
        <v>1009.5</v>
      </c>
      <c r="Z37" t="n">
        <v>1055.29</v>
      </c>
    </row>
    <row r="38">
      <c r="M38" t="n">
        <v>269</v>
      </c>
      <c r="N38" t="n">
        <v>1416.6</v>
      </c>
      <c r="P38" t="n">
        <v>337</v>
      </c>
      <c r="Q38" t="n">
        <v>1957.55</v>
      </c>
      <c r="S38" t="n">
        <v>183</v>
      </c>
      <c r="T38" t="n">
        <v>1168.55</v>
      </c>
      <c r="V38" t="inlineStr">
        <is>
          <t>13:00</t>
        </is>
      </c>
      <c r="W38" t="inlineStr">
        <is>
          <t>M</t>
        </is>
      </c>
      <c r="X38" t="n">
        <v>1721.25</v>
      </c>
      <c r="Y38" t="n">
        <v>1094</v>
      </c>
      <c r="Z38" t="n">
        <v>1147.25</v>
      </c>
    </row>
    <row r="39">
      <c r="M39" t="n">
        <v>294</v>
      </c>
      <c r="N39" t="n">
        <v>1967.68</v>
      </c>
      <c r="P39" t="n">
        <v>300</v>
      </c>
      <c r="Q39" t="n">
        <v>1767.38</v>
      </c>
      <c r="S39" t="n">
        <v>290</v>
      </c>
      <c r="T39" t="n">
        <v>1869.15</v>
      </c>
      <c r="V39" t="inlineStr"/>
      <c r="W39" t="inlineStr">
        <is>
          <t>T</t>
        </is>
      </c>
      <c r="X39" t="n">
        <v>1359.48</v>
      </c>
      <c r="Y39" t="n">
        <v>998.9</v>
      </c>
      <c r="Z39" t="n">
        <v>991.38</v>
      </c>
    </row>
    <row r="40">
      <c r="M40" t="n">
        <v>238</v>
      </c>
      <c r="N40" t="n">
        <v>1362.11</v>
      </c>
      <c r="P40" t="n">
        <v>319</v>
      </c>
      <c r="Q40" t="n">
        <v>1916.2</v>
      </c>
      <c r="S40" t="n">
        <v>275</v>
      </c>
      <c r="T40" t="n">
        <v>1822.66</v>
      </c>
      <c r="V40" t="inlineStr"/>
      <c r="W40" t="inlineStr">
        <is>
          <t>W</t>
        </is>
      </c>
      <c r="X40" t="n">
        <v>1438.7</v>
      </c>
      <c r="Y40" t="n">
        <v>1222.4</v>
      </c>
      <c r="Z40" t="n">
        <v>1153.35</v>
      </c>
    </row>
    <row r="41">
      <c r="M41" t="n">
        <v>281</v>
      </c>
      <c r="N41" t="n">
        <v>1716.9</v>
      </c>
      <c r="P41" t="n">
        <v>310</v>
      </c>
      <c r="Q41" t="n">
        <v>1942.63</v>
      </c>
      <c r="S41" t="n">
        <v>272</v>
      </c>
      <c r="T41" t="n">
        <v>1596.8</v>
      </c>
      <c r="V41" t="inlineStr"/>
      <c r="W41" t="inlineStr">
        <is>
          <t>T</t>
        </is>
      </c>
      <c r="X41" t="n">
        <v>1495.85</v>
      </c>
      <c r="Y41" t="n">
        <v>1192.8</v>
      </c>
      <c r="Z41" t="n">
        <v>1143.2</v>
      </c>
    </row>
    <row r="42">
      <c r="M42" t="n">
        <v>240</v>
      </c>
      <c r="N42" t="n">
        <v>1395</v>
      </c>
      <c r="P42" t="n">
        <v>298</v>
      </c>
      <c r="Q42" t="n">
        <v>1905.31</v>
      </c>
      <c r="S42" t="n">
        <v>266</v>
      </c>
      <c r="T42" t="n">
        <v>1549.75</v>
      </c>
      <c r="V42" t="inlineStr"/>
      <c r="W42" t="inlineStr">
        <is>
          <t>F</t>
        </is>
      </c>
      <c r="X42" t="n">
        <v>1402.83</v>
      </c>
      <c r="Y42" t="n">
        <v>1200.8</v>
      </c>
      <c r="Z42" t="n">
        <v>1060.81</v>
      </c>
    </row>
    <row r="43">
      <c r="M43" t="n">
        <v>224</v>
      </c>
      <c r="N43" t="n">
        <v>1175.08</v>
      </c>
      <c r="P43" t="n">
        <v>308</v>
      </c>
      <c r="Q43" t="n">
        <v>1896.4</v>
      </c>
      <c r="S43" t="n">
        <v>265</v>
      </c>
      <c r="T43" t="n">
        <v>1609.65</v>
      </c>
      <c r="V43" t="inlineStr"/>
      <c r="W43" t="inlineStr">
        <is>
          <t>S</t>
        </is>
      </c>
      <c r="X43" t="n">
        <v>1312.75</v>
      </c>
      <c r="Y43" t="n">
        <v>1018.4</v>
      </c>
      <c r="Z43" t="n">
        <v>1145.3</v>
      </c>
    </row>
    <row r="44">
      <c r="M44" t="n">
        <v>249</v>
      </c>
      <c r="N44" t="n">
        <v>1299.85</v>
      </c>
      <c r="P44" t="n">
        <v>316</v>
      </c>
      <c r="Q44" t="n">
        <v>2312.6</v>
      </c>
      <c r="S44" t="n">
        <v>265</v>
      </c>
      <c r="T44" t="n">
        <v>1899.08</v>
      </c>
      <c r="V44" t="inlineStr"/>
      <c r="W44" t="inlineStr">
        <is>
          <t>S</t>
        </is>
      </c>
      <c r="X44" t="n">
        <v>1420</v>
      </c>
      <c r="Y44" t="n">
        <v>1097.9</v>
      </c>
      <c r="Z44" t="n">
        <v>1177.73</v>
      </c>
    </row>
    <row r="45">
      <c r="M45" t="n">
        <v>215</v>
      </c>
      <c r="N45" t="n">
        <v>1482</v>
      </c>
      <c r="P45" t="n">
        <v>277</v>
      </c>
      <c r="Q45" t="n">
        <v>1979.71</v>
      </c>
      <c r="S45" t="n">
        <v>228</v>
      </c>
      <c r="T45" t="n">
        <v>1590.94</v>
      </c>
      <c r="V45" t="inlineStr">
        <is>
          <t>14:00</t>
        </is>
      </c>
      <c r="W45" t="inlineStr">
        <is>
          <t>M</t>
        </is>
      </c>
      <c r="X45" t="n">
        <v>1615.15</v>
      </c>
      <c r="Y45" t="n">
        <v>1070.15</v>
      </c>
      <c r="Z45" t="n">
        <v>1348.48</v>
      </c>
    </row>
    <row r="46">
      <c r="M46" t="n">
        <v>339</v>
      </c>
      <c r="N46" t="n">
        <v>2180.88</v>
      </c>
      <c r="P46" t="n">
        <v>258</v>
      </c>
      <c r="Q46" t="n">
        <v>1592.65</v>
      </c>
      <c r="S46" t="n">
        <v>277</v>
      </c>
      <c r="T46" t="n">
        <v>1611.45</v>
      </c>
      <c r="V46" t="inlineStr"/>
      <c r="W46" t="inlineStr">
        <is>
          <t>T</t>
        </is>
      </c>
      <c r="X46" t="n">
        <v>1384.18</v>
      </c>
      <c r="Y46" t="n">
        <v>1043.2</v>
      </c>
      <c r="Z46" t="n">
        <v>1316.28</v>
      </c>
    </row>
    <row r="47">
      <c r="M47" t="n">
        <v>340</v>
      </c>
      <c r="N47" t="n">
        <v>2042.15</v>
      </c>
      <c r="P47" t="n">
        <v>294</v>
      </c>
      <c r="Q47" t="n">
        <v>1815.78</v>
      </c>
      <c r="S47" t="n">
        <v>280</v>
      </c>
      <c r="T47" t="n">
        <v>1684.2</v>
      </c>
      <c r="V47" t="inlineStr"/>
      <c r="W47" t="inlineStr">
        <is>
          <t>W</t>
        </is>
      </c>
      <c r="X47" t="n">
        <v>1256.8</v>
      </c>
      <c r="Y47" t="n">
        <v>1081.78</v>
      </c>
      <c r="Z47" t="n">
        <v>1240.5</v>
      </c>
    </row>
    <row r="48">
      <c r="M48" t="n">
        <v>292</v>
      </c>
      <c r="N48" t="n">
        <v>1942.5</v>
      </c>
      <c r="P48" t="n">
        <v>184</v>
      </c>
      <c r="Q48" t="n">
        <v>1791.35</v>
      </c>
      <c r="S48" t="n">
        <v>260</v>
      </c>
      <c r="T48" t="n">
        <v>1684.15</v>
      </c>
      <c r="V48" t="inlineStr"/>
      <c r="W48" t="inlineStr">
        <is>
          <t>T</t>
        </is>
      </c>
      <c r="X48" t="n">
        <v>1389.93</v>
      </c>
      <c r="Y48" t="n">
        <v>1266.58</v>
      </c>
      <c r="Z48" t="n">
        <v>1278.3</v>
      </c>
    </row>
    <row r="49">
      <c r="M49" t="n">
        <v>288</v>
      </c>
      <c r="N49" t="n">
        <v>1965.94</v>
      </c>
      <c r="P49" t="n">
        <v>306</v>
      </c>
      <c r="Q49" t="n">
        <v>1949.33</v>
      </c>
      <c r="S49" t="n">
        <v>260</v>
      </c>
      <c r="T49" t="n">
        <v>1668.2</v>
      </c>
      <c r="V49" t="inlineStr"/>
      <c r="W49" t="inlineStr">
        <is>
          <t>F</t>
        </is>
      </c>
      <c r="X49" t="n">
        <v>1266.35</v>
      </c>
      <c r="Y49" t="n">
        <v>1066.45</v>
      </c>
      <c r="Z49" t="n">
        <v>1194.88</v>
      </c>
    </row>
    <row r="50">
      <c r="M50" t="n">
        <v>330</v>
      </c>
      <c r="N50" t="n">
        <v>2184.7</v>
      </c>
      <c r="P50" t="n">
        <v>286</v>
      </c>
      <c r="Q50" t="n">
        <v>1908.83</v>
      </c>
      <c r="S50" t="n">
        <v>278</v>
      </c>
      <c r="T50" t="n">
        <v>1564.35</v>
      </c>
      <c r="V50" t="inlineStr"/>
      <c r="W50" t="inlineStr">
        <is>
          <t>S</t>
        </is>
      </c>
      <c r="X50" t="n">
        <v>1456.4</v>
      </c>
      <c r="Y50" t="n">
        <v>1057.93</v>
      </c>
      <c r="Z50" t="n">
        <v>1184.43</v>
      </c>
    </row>
    <row r="51">
      <c r="M51" t="n">
        <v>266</v>
      </c>
      <c r="N51" t="n">
        <v>1798.73</v>
      </c>
      <c r="P51" t="n">
        <v>296</v>
      </c>
      <c r="Q51" t="n">
        <v>1883.15</v>
      </c>
      <c r="S51" t="n">
        <v>233</v>
      </c>
      <c r="T51" t="n">
        <v>1837.4</v>
      </c>
      <c r="V51" t="inlineStr"/>
      <c r="W51" t="inlineStr">
        <is>
          <t>S</t>
        </is>
      </c>
      <c r="X51" t="n">
        <v>1154.83</v>
      </c>
      <c r="Y51" t="n">
        <v>1057.3</v>
      </c>
      <c r="Z51" t="n">
        <v>1190.31</v>
      </c>
    </row>
    <row r="52">
      <c r="M52" t="n">
        <v>217</v>
      </c>
      <c r="N52" t="n">
        <v>1568.78</v>
      </c>
      <c r="P52" t="n">
        <v>323</v>
      </c>
      <c r="Q52" t="n">
        <v>2085.08</v>
      </c>
      <c r="S52" t="n">
        <v>222</v>
      </c>
      <c r="T52" t="n">
        <v>1716.95</v>
      </c>
      <c r="V52" t="inlineStr">
        <is>
          <t>15:00</t>
        </is>
      </c>
      <c r="W52" t="inlineStr">
        <is>
          <t>M</t>
        </is>
      </c>
      <c r="X52" t="n">
        <v>1457.9</v>
      </c>
      <c r="Y52" t="n">
        <v>1008.8</v>
      </c>
      <c r="Z52" t="n">
        <v>1318.85</v>
      </c>
    </row>
    <row r="53">
      <c r="M53" t="n">
        <v>339</v>
      </c>
      <c r="N53" t="n">
        <v>1773.15</v>
      </c>
      <c r="P53" t="n">
        <v>297</v>
      </c>
      <c r="Q53" t="n">
        <v>1510.95</v>
      </c>
      <c r="S53" t="n">
        <v>293</v>
      </c>
      <c r="T53" t="n">
        <v>2257.06</v>
      </c>
      <c r="V53" t="inlineStr"/>
      <c r="W53" t="inlineStr">
        <is>
          <t>T</t>
        </is>
      </c>
      <c r="X53" t="n">
        <v>1397</v>
      </c>
      <c r="Y53" t="n">
        <v>1066.5</v>
      </c>
      <c r="Z53" t="n">
        <v>1543.69</v>
      </c>
    </row>
    <row r="54">
      <c r="M54" t="n">
        <v>314</v>
      </c>
      <c r="N54" t="n">
        <v>1653.1</v>
      </c>
      <c r="P54" t="n">
        <v>353</v>
      </c>
      <c r="Q54" t="n">
        <v>1835.93</v>
      </c>
      <c r="S54" t="n">
        <v>238</v>
      </c>
      <c r="T54" t="n">
        <v>1753.88</v>
      </c>
      <c r="V54" t="inlineStr"/>
      <c r="W54" t="inlineStr">
        <is>
          <t>W</t>
        </is>
      </c>
      <c r="X54" t="n">
        <v>1383.8</v>
      </c>
      <c r="Y54" t="n">
        <v>1032.15</v>
      </c>
      <c r="Z54" t="n">
        <v>1182.26</v>
      </c>
    </row>
    <row r="55">
      <c r="M55" t="n">
        <v>363</v>
      </c>
      <c r="N55" t="n">
        <v>1889.65</v>
      </c>
      <c r="P55" t="n">
        <v>289</v>
      </c>
      <c r="Q55" t="n">
        <v>1533.2</v>
      </c>
      <c r="S55" t="n">
        <v>274</v>
      </c>
      <c r="T55" t="n">
        <v>1968.6</v>
      </c>
      <c r="V55" t="inlineStr"/>
      <c r="W55" t="inlineStr">
        <is>
          <t>T</t>
        </is>
      </c>
      <c r="X55" t="n">
        <v>1529.6</v>
      </c>
      <c r="Y55" t="n">
        <v>1051.9</v>
      </c>
      <c r="Z55" t="n">
        <v>1397.9</v>
      </c>
    </row>
    <row r="56">
      <c r="M56" t="n">
        <v>319</v>
      </c>
      <c r="N56" t="n">
        <v>1628.15</v>
      </c>
      <c r="P56" t="n">
        <v>292</v>
      </c>
      <c r="Q56" t="n">
        <v>1597.4</v>
      </c>
      <c r="S56" t="n">
        <v>271</v>
      </c>
      <c r="T56" t="n">
        <v>2005.3</v>
      </c>
      <c r="V56" t="inlineStr"/>
      <c r="W56" t="inlineStr">
        <is>
          <t>F</t>
        </is>
      </c>
      <c r="X56" t="n">
        <v>1392.8</v>
      </c>
      <c r="Y56" t="n">
        <v>971.15</v>
      </c>
      <c r="Z56" t="n">
        <v>1236.43</v>
      </c>
    </row>
    <row r="57">
      <c r="M57" t="n">
        <v>358</v>
      </c>
      <c r="N57" t="n">
        <v>1826.65</v>
      </c>
      <c r="P57" t="n">
        <v>299</v>
      </c>
      <c r="Q57" t="n">
        <v>1507.3</v>
      </c>
      <c r="S57" t="n">
        <v>251</v>
      </c>
      <c r="T57" t="n">
        <v>1967</v>
      </c>
      <c r="V57" t="inlineStr"/>
      <c r="W57" t="inlineStr">
        <is>
          <t>S</t>
        </is>
      </c>
      <c r="X57" t="n">
        <v>1624.5</v>
      </c>
      <c r="Y57" t="n">
        <v>1160.6</v>
      </c>
      <c r="Z57" t="n">
        <v>1390.6</v>
      </c>
    </row>
    <row r="58">
      <c r="M58" t="n">
        <v>327</v>
      </c>
      <c r="N58" t="n">
        <v>1661.05</v>
      </c>
      <c r="P58" t="n">
        <v>330</v>
      </c>
      <c r="Q58" t="n">
        <v>1655.25</v>
      </c>
      <c r="S58" t="n">
        <v>296</v>
      </c>
      <c r="T58" t="n">
        <v>2242.85</v>
      </c>
      <c r="V58" t="inlineStr"/>
      <c r="W58" t="inlineStr">
        <is>
          <t>S</t>
        </is>
      </c>
      <c r="X58" t="n">
        <v>1231.7</v>
      </c>
      <c r="Y58" t="n">
        <v>981.05</v>
      </c>
      <c r="Z58" t="n">
        <v>1271.45</v>
      </c>
    </row>
    <row r="59">
      <c r="M59" t="n">
        <v>329</v>
      </c>
      <c r="N59" t="n">
        <v>1612.85</v>
      </c>
      <c r="P59" t="n">
        <v>252</v>
      </c>
      <c r="Q59" t="n">
        <v>1264.75</v>
      </c>
      <c r="S59" t="n">
        <v>273</v>
      </c>
      <c r="T59" t="n">
        <v>1461.05</v>
      </c>
      <c r="V59" t="inlineStr">
        <is>
          <t>16:00</t>
        </is>
      </c>
      <c r="W59" t="inlineStr">
        <is>
          <t>M</t>
        </is>
      </c>
      <c r="X59" t="n">
        <v>1569.3</v>
      </c>
      <c r="Y59" t="n">
        <v>1111.68</v>
      </c>
      <c r="Z59" t="n">
        <v>1170.55</v>
      </c>
    </row>
    <row r="60">
      <c r="M60" t="n">
        <v>312</v>
      </c>
      <c r="N60" t="n">
        <v>1637.1</v>
      </c>
      <c r="P60" t="n">
        <v>218</v>
      </c>
      <c r="Q60" t="n">
        <v>1125.15</v>
      </c>
      <c r="S60" t="n">
        <v>214</v>
      </c>
      <c r="T60" t="n">
        <v>1197.25</v>
      </c>
      <c r="V60" t="inlineStr"/>
      <c r="W60" t="inlineStr">
        <is>
          <t>T</t>
        </is>
      </c>
      <c r="X60" t="n">
        <v>1400.55</v>
      </c>
      <c r="Y60" t="n">
        <v>1100</v>
      </c>
      <c r="Z60" t="n">
        <v>1271.03</v>
      </c>
    </row>
    <row r="61">
      <c r="M61" t="n">
        <v>310</v>
      </c>
      <c r="N61" t="n">
        <v>1670.95</v>
      </c>
      <c r="P61" t="n">
        <v>225</v>
      </c>
      <c r="Q61" t="n">
        <v>1432.5</v>
      </c>
      <c r="S61" t="n">
        <v>244</v>
      </c>
      <c r="T61" t="n">
        <v>1732.03</v>
      </c>
      <c r="V61" t="inlineStr"/>
      <c r="W61" t="inlineStr">
        <is>
          <t>W</t>
        </is>
      </c>
      <c r="X61" t="n">
        <v>1246.2</v>
      </c>
      <c r="Y61" t="n">
        <v>1023.4</v>
      </c>
      <c r="Z61" t="n">
        <v>1067</v>
      </c>
    </row>
    <row r="62">
      <c r="M62" t="n">
        <v>295</v>
      </c>
      <c r="N62" t="n">
        <v>1671.11</v>
      </c>
      <c r="P62" t="n">
        <v>217</v>
      </c>
      <c r="Q62" t="n">
        <v>1363.75</v>
      </c>
      <c r="S62" t="n">
        <v>229</v>
      </c>
      <c r="T62" t="n">
        <v>1649.27</v>
      </c>
      <c r="V62" t="inlineStr"/>
      <c r="W62" t="inlineStr">
        <is>
          <t>T</t>
        </is>
      </c>
      <c r="X62" t="n">
        <v>1806.3</v>
      </c>
      <c r="Y62" t="n">
        <v>1176.33</v>
      </c>
      <c r="Z62" t="n">
        <v>1226.95</v>
      </c>
    </row>
    <row r="63">
      <c r="M63" t="n">
        <v>350</v>
      </c>
      <c r="N63" t="n">
        <v>1794.85</v>
      </c>
      <c r="P63" t="n">
        <v>340</v>
      </c>
      <c r="Q63" t="n">
        <v>1829.2</v>
      </c>
      <c r="S63" t="n">
        <v>294</v>
      </c>
      <c r="T63" t="n">
        <v>1602.95</v>
      </c>
      <c r="V63" t="inlineStr"/>
      <c r="W63" t="inlineStr">
        <is>
          <t>F</t>
        </is>
      </c>
      <c r="X63" t="n">
        <v>1372.35</v>
      </c>
      <c r="Y63" t="n">
        <v>911.5</v>
      </c>
      <c r="Z63" t="n">
        <v>967.78</v>
      </c>
    </row>
    <row r="64">
      <c r="M64" t="n">
        <v>360</v>
      </c>
      <c r="N64" t="n">
        <v>1915.45</v>
      </c>
      <c r="P64" t="n">
        <v>342</v>
      </c>
      <c r="Q64" t="n">
        <v>1701.6</v>
      </c>
      <c r="S64" t="n">
        <v>280</v>
      </c>
      <c r="T64" t="n">
        <v>1439.45</v>
      </c>
      <c r="V64" t="inlineStr"/>
      <c r="W64" t="inlineStr">
        <is>
          <t>S</t>
        </is>
      </c>
      <c r="X64" t="n">
        <v>1457.6</v>
      </c>
      <c r="Y64" t="n">
        <v>1068.03</v>
      </c>
      <c r="Z64" t="n">
        <v>1282.4</v>
      </c>
    </row>
    <row r="65">
      <c r="M65" t="n">
        <v>381</v>
      </c>
      <c r="N65" t="n">
        <v>1953.5</v>
      </c>
      <c r="P65" t="n">
        <v>323</v>
      </c>
      <c r="Q65" t="n">
        <v>1612.8</v>
      </c>
      <c r="S65" t="n">
        <v>294</v>
      </c>
      <c r="T65" t="n">
        <v>1600.35</v>
      </c>
      <c r="V65" t="inlineStr"/>
      <c r="W65" t="inlineStr">
        <is>
          <t>S</t>
        </is>
      </c>
      <c r="X65" t="n">
        <v>1392.65</v>
      </c>
      <c r="Y65" t="n">
        <v>993.5</v>
      </c>
      <c r="Z65" t="n">
        <v>1134.98</v>
      </c>
    </row>
    <row r="66">
      <c r="M66" t="n">
        <v>340</v>
      </c>
      <c r="N66" t="n">
        <v>1760.9</v>
      </c>
      <c r="P66" t="n">
        <v>322</v>
      </c>
      <c r="Q66" t="n">
        <v>1628.9</v>
      </c>
      <c r="S66" t="n">
        <v>292</v>
      </c>
      <c r="T66" t="n">
        <v>1595.35</v>
      </c>
      <c r="V66" t="inlineStr">
        <is>
          <t>17:00</t>
        </is>
      </c>
      <c r="W66" t="inlineStr">
        <is>
          <t>M</t>
        </is>
      </c>
      <c r="X66" t="n">
        <v>1447.6</v>
      </c>
      <c r="Y66" t="n">
        <v>1157.35</v>
      </c>
      <c r="Z66" t="n">
        <v>1146.4</v>
      </c>
    </row>
    <row r="67">
      <c r="M67" t="n">
        <v>348</v>
      </c>
      <c r="N67" t="n">
        <v>1842.45</v>
      </c>
      <c r="P67" t="n">
        <v>305</v>
      </c>
      <c r="Q67" t="n">
        <v>1531.7</v>
      </c>
      <c r="S67" t="n">
        <v>283</v>
      </c>
      <c r="T67" t="n">
        <v>1537</v>
      </c>
      <c r="V67" t="inlineStr"/>
      <c r="W67" t="inlineStr">
        <is>
          <t>T</t>
        </is>
      </c>
      <c r="X67" t="n">
        <v>1564.45</v>
      </c>
      <c r="Y67" t="n">
        <v>995.25</v>
      </c>
      <c r="Z67" t="n">
        <v>1144.6</v>
      </c>
    </row>
    <row r="68">
      <c r="M68" t="n">
        <v>250</v>
      </c>
      <c r="N68" t="n">
        <v>1397.1</v>
      </c>
      <c r="P68" t="n">
        <v>323</v>
      </c>
      <c r="Q68" t="n">
        <v>1611.4</v>
      </c>
      <c r="S68" t="n">
        <v>308</v>
      </c>
      <c r="T68" t="n">
        <v>1590.4</v>
      </c>
      <c r="V68" t="inlineStr"/>
      <c r="W68" t="inlineStr">
        <is>
          <t>W</t>
        </is>
      </c>
      <c r="X68" t="n">
        <v>1345.1</v>
      </c>
      <c r="Y68" t="n">
        <v>1085</v>
      </c>
      <c r="Z68" t="n">
        <v>877.45</v>
      </c>
    </row>
    <row r="69">
      <c r="M69" t="n">
        <v>296</v>
      </c>
      <c r="N69" t="n">
        <v>1555.55</v>
      </c>
      <c r="P69" t="n">
        <v>344</v>
      </c>
      <c r="Q69" t="n">
        <v>2045.5</v>
      </c>
      <c r="S69" t="n">
        <v>200</v>
      </c>
      <c r="T69" t="n">
        <v>1282.05</v>
      </c>
      <c r="V69" t="inlineStr"/>
      <c r="W69" t="inlineStr">
        <is>
          <t>T</t>
        </is>
      </c>
      <c r="X69" t="n">
        <v>1406</v>
      </c>
      <c r="Y69" t="n">
        <v>1152.05</v>
      </c>
      <c r="Z69" t="n">
        <v>1168.2</v>
      </c>
    </row>
    <row r="70">
      <c r="M70" t="n">
        <v>309</v>
      </c>
      <c r="N70" t="n">
        <v>2168.68</v>
      </c>
      <c r="P70" t="n">
        <v>331</v>
      </c>
      <c r="Q70" t="n">
        <v>2028.11</v>
      </c>
      <c r="S70" t="n">
        <v>313</v>
      </c>
      <c r="T70" t="n">
        <v>1954.8</v>
      </c>
      <c r="V70" t="inlineStr"/>
      <c r="W70" t="inlineStr">
        <is>
          <t>F</t>
        </is>
      </c>
      <c r="X70" t="n">
        <v>1380.9</v>
      </c>
      <c r="Y70" t="n">
        <v>1273.45</v>
      </c>
      <c r="Z70" t="n">
        <v>934.54</v>
      </c>
    </row>
    <row r="71">
      <c r="M71" t="n">
        <v>260</v>
      </c>
      <c r="N71" t="n">
        <v>1518.48</v>
      </c>
      <c r="P71" t="n">
        <v>360</v>
      </c>
      <c r="Q71" t="n">
        <v>2189.6</v>
      </c>
      <c r="S71" t="n">
        <v>304</v>
      </c>
      <c r="T71" t="n">
        <v>2159.08</v>
      </c>
      <c r="V71" t="inlineStr"/>
      <c r="W71" t="inlineStr">
        <is>
          <t>S</t>
        </is>
      </c>
      <c r="X71" t="n">
        <v>1431.1</v>
      </c>
      <c r="Y71" t="n">
        <v>1051.35</v>
      </c>
      <c r="Z71" t="n">
        <v>1204.7</v>
      </c>
    </row>
    <row r="72">
      <c r="M72" t="n">
        <v>279</v>
      </c>
      <c r="N72" t="n">
        <v>1749.45</v>
      </c>
      <c r="P72" t="n">
        <v>325</v>
      </c>
      <c r="Q72" t="n">
        <v>1990.7</v>
      </c>
      <c r="S72" t="n">
        <v>287</v>
      </c>
      <c r="T72" t="n">
        <v>1886.6</v>
      </c>
      <c r="V72" t="inlineStr"/>
      <c r="W72" t="inlineStr">
        <is>
          <t>S</t>
        </is>
      </c>
      <c r="X72" t="n">
        <v>1468.35</v>
      </c>
      <c r="Y72" t="n">
        <v>1123.6</v>
      </c>
      <c r="Z72" t="n">
        <v>910.79</v>
      </c>
    </row>
    <row r="73">
      <c r="M73" t="n">
        <v>278</v>
      </c>
      <c r="N73" t="n">
        <v>1703.65</v>
      </c>
      <c r="P73" t="n">
        <v>331</v>
      </c>
      <c r="Q73" t="n">
        <v>2002.53</v>
      </c>
      <c r="S73" t="n">
        <v>293</v>
      </c>
      <c r="T73" t="n">
        <v>1712.43</v>
      </c>
      <c r="V73" t="inlineStr">
        <is>
          <t>18:00</t>
        </is>
      </c>
      <c r="W73" t="inlineStr">
        <is>
          <t>M</t>
        </is>
      </c>
      <c r="X73" t="n">
        <v>1731.2</v>
      </c>
      <c r="Y73" t="n">
        <v>1025.6</v>
      </c>
      <c r="Z73" t="n">
        <v>644.35</v>
      </c>
    </row>
    <row r="74">
      <c r="M74" t="n">
        <v>247</v>
      </c>
      <c r="N74" t="n">
        <v>1244.6</v>
      </c>
      <c r="P74" t="n">
        <v>344</v>
      </c>
      <c r="Q74" t="n">
        <v>2106.6</v>
      </c>
      <c r="S74" t="n">
        <v>303</v>
      </c>
      <c r="T74" t="n">
        <v>1977.5</v>
      </c>
      <c r="V74" t="inlineStr"/>
      <c r="W74" t="inlineStr">
        <is>
          <t>T</t>
        </is>
      </c>
      <c r="X74" t="n">
        <v>1241.3</v>
      </c>
      <c r="Y74" t="n">
        <v>987.6</v>
      </c>
      <c r="Z74" t="n">
        <v>566.36</v>
      </c>
    </row>
    <row r="75">
      <c r="M75" t="n">
        <v>273</v>
      </c>
      <c r="N75" t="n">
        <v>1439.45</v>
      </c>
      <c r="P75" t="n">
        <v>360</v>
      </c>
      <c r="Q75" t="n">
        <v>2534.8</v>
      </c>
      <c r="S75" t="n">
        <v>302</v>
      </c>
      <c r="T75" t="n">
        <v>2215.11</v>
      </c>
      <c r="V75" t="inlineStr"/>
      <c r="W75" t="inlineStr">
        <is>
          <t>W</t>
        </is>
      </c>
      <c r="X75" t="n">
        <v>1436.95</v>
      </c>
      <c r="Y75" t="n">
        <v>1075.95</v>
      </c>
      <c r="Z75" t="n">
        <v>557.85</v>
      </c>
    </row>
    <row r="76">
      <c r="M76" t="n">
        <v>228</v>
      </c>
      <c r="N76" t="n">
        <v>1588.55</v>
      </c>
      <c r="P76" t="n">
        <v>324</v>
      </c>
      <c r="Q76" t="n">
        <v>2496.61</v>
      </c>
      <c r="S76" t="n">
        <v>256</v>
      </c>
      <c r="T76" t="n">
        <v>1751.36</v>
      </c>
      <c r="V76" t="inlineStr"/>
      <c r="W76" t="inlineStr">
        <is>
          <t>T</t>
        </is>
      </c>
      <c r="X76" t="n">
        <v>1630.55</v>
      </c>
      <c r="Y76" t="n">
        <v>1073.15</v>
      </c>
      <c r="Z76" t="n">
        <v>610.6</v>
      </c>
    </row>
    <row r="77">
      <c r="M77" t="n">
        <v>336</v>
      </c>
      <c r="N77" t="n">
        <v>2373.21</v>
      </c>
      <c r="P77" t="n">
        <v>296</v>
      </c>
      <c r="Q77" t="n">
        <v>1788.18</v>
      </c>
      <c r="S77" t="n">
        <v>289</v>
      </c>
      <c r="T77" t="n">
        <v>1644.85</v>
      </c>
      <c r="V77" t="inlineStr"/>
      <c r="W77" t="inlineStr">
        <is>
          <t>F</t>
        </is>
      </c>
      <c r="X77" t="n">
        <v>1466.75</v>
      </c>
      <c r="Y77" t="n">
        <v>1168.85</v>
      </c>
      <c r="Z77" t="n">
        <v>653.84</v>
      </c>
    </row>
    <row r="78">
      <c r="M78" t="n">
        <v>364</v>
      </c>
      <c r="N78" t="n">
        <v>2229.8</v>
      </c>
      <c r="P78" t="n">
        <v>323</v>
      </c>
      <c r="Q78" t="n">
        <v>1975.95</v>
      </c>
      <c r="S78" t="n">
        <v>313</v>
      </c>
      <c r="T78" t="n">
        <v>1805.68</v>
      </c>
      <c r="V78" t="inlineStr"/>
      <c r="W78" t="inlineStr">
        <is>
          <t>S</t>
        </is>
      </c>
      <c r="X78" t="n">
        <v>1518.15</v>
      </c>
      <c r="Y78" t="n">
        <v>1096</v>
      </c>
      <c r="Z78" t="n">
        <v>570.5</v>
      </c>
    </row>
    <row r="79">
      <c r="M79" t="n">
        <v>327</v>
      </c>
      <c r="N79" t="n">
        <v>2072.65</v>
      </c>
      <c r="P79" t="n">
        <v>194</v>
      </c>
      <c r="Q79" t="n">
        <v>2320.1</v>
      </c>
      <c r="S79" t="n">
        <v>274</v>
      </c>
      <c r="T79" t="n">
        <v>1724.85</v>
      </c>
      <c r="V79" t="inlineStr"/>
      <c r="W79" t="inlineStr">
        <is>
          <t>S</t>
        </is>
      </c>
      <c r="X79" t="n">
        <v>1232.2</v>
      </c>
      <c r="Y79" t="n">
        <v>1022.7</v>
      </c>
      <c r="Z79" t="n">
        <v>538.15</v>
      </c>
    </row>
    <row r="80">
      <c r="M80" t="n">
        <v>326</v>
      </c>
      <c r="N80" t="n">
        <v>2044.88</v>
      </c>
      <c r="P80" t="n">
        <v>327</v>
      </c>
      <c r="Q80" t="n">
        <v>2175.93</v>
      </c>
      <c r="S80" t="n">
        <v>280</v>
      </c>
      <c r="T80" t="n">
        <v>1805.28</v>
      </c>
      <c r="V80" t="inlineStr">
        <is>
          <t>19:00</t>
        </is>
      </c>
      <c r="W80" t="inlineStr">
        <is>
          <t>M</t>
        </is>
      </c>
      <c r="X80" t="n">
        <v>1693.6</v>
      </c>
      <c r="Y80" t="n">
        <v>944.5</v>
      </c>
      <c r="Z80" t="n">
        <v>59.1</v>
      </c>
    </row>
    <row r="81">
      <c r="M81" t="n">
        <v>366</v>
      </c>
      <c r="N81" t="n">
        <v>2546.43</v>
      </c>
      <c r="P81" t="n">
        <v>321</v>
      </c>
      <c r="Q81" t="n">
        <v>2124.08</v>
      </c>
      <c r="S81" t="n">
        <v>304</v>
      </c>
      <c r="T81" t="n">
        <v>1733.4</v>
      </c>
      <c r="V81" t="inlineStr"/>
      <c r="W81" t="inlineStr">
        <is>
          <t>T</t>
        </is>
      </c>
      <c r="X81" t="n">
        <v>1470.13</v>
      </c>
      <c r="Y81" t="n">
        <v>1028.3</v>
      </c>
      <c r="Z81" t="n">
        <v>105.81</v>
      </c>
    </row>
    <row r="82">
      <c r="M82" t="n">
        <v>288</v>
      </c>
      <c r="N82" t="n">
        <v>1679.38</v>
      </c>
      <c r="P82" t="n">
        <v>304</v>
      </c>
      <c r="Q82" t="n">
        <v>1885.65</v>
      </c>
      <c r="S82" t="n">
        <v>242</v>
      </c>
      <c r="T82" t="n">
        <v>1929.63</v>
      </c>
      <c r="V82" t="inlineStr"/>
      <c r="W82" t="inlineStr">
        <is>
          <t>W</t>
        </is>
      </c>
      <c r="X82" t="n">
        <v>1345.6</v>
      </c>
      <c r="Y82" t="n">
        <v>911.05</v>
      </c>
      <c r="Z82" t="n">
        <v>2.2</v>
      </c>
    </row>
    <row r="83">
      <c r="M83" t="n">
        <v>236</v>
      </c>
      <c r="N83" t="n">
        <v>1614.25</v>
      </c>
      <c r="P83" t="n">
        <v>349</v>
      </c>
      <c r="Q83" t="n">
        <v>2303.83</v>
      </c>
      <c r="S83" t="n">
        <v>240</v>
      </c>
      <c r="T83" t="n">
        <v>1890.3</v>
      </c>
      <c r="V83" t="inlineStr"/>
      <c r="W83" t="inlineStr">
        <is>
          <t>T</t>
        </is>
      </c>
      <c r="X83" t="n">
        <v>1693</v>
      </c>
      <c r="Y83" t="n">
        <v>1114.83</v>
      </c>
      <c r="Z83" t="n">
        <v>82.90000000000001</v>
      </c>
    </row>
    <row r="84">
      <c r="M84" t="n">
        <v>350</v>
      </c>
      <c r="N84" t="n">
        <v>1912.05</v>
      </c>
      <c r="P84" t="n">
        <v>316</v>
      </c>
      <c r="Q84" t="n">
        <v>1557.1</v>
      </c>
      <c r="S84" t="n">
        <v>286</v>
      </c>
      <c r="T84" t="n">
        <v>2145.95</v>
      </c>
      <c r="V84" t="inlineStr"/>
      <c r="W84" t="inlineStr">
        <is>
          <t>F</t>
        </is>
      </c>
      <c r="X84" t="n">
        <v>1538.9</v>
      </c>
      <c r="Y84" t="n">
        <v>978.4</v>
      </c>
      <c r="Z84" t="n">
        <v>101.97</v>
      </c>
    </row>
    <row r="85">
      <c r="M85" t="n">
        <v>352</v>
      </c>
      <c r="N85" t="n">
        <v>1864.4</v>
      </c>
      <c r="P85" t="n">
        <v>363</v>
      </c>
      <c r="Q85" t="n">
        <v>1984.08</v>
      </c>
      <c r="S85" t="n">
        <v>264</v>
      </c>
      <c r="T85" t="n">
        <v>1933.38</v>
      </c>
      <c r="V85" t="inlineStr"/>
      <c r="W85" t="inlineStr">
        <is>
          <t>S</t>
        </is>
      </c>
      <c r="X85" t="n">
        <v>1644.03</v>
      </c>
      <c r="Y85" t="n">
        <v>960.15</v>
      </c>
      <c r="Z85" t="n">
        <v>39.6</v>
      </c>
    </row>
    <row r="86">
      <c r="M86" t="n">
        <v>402</v>
      </c>
      <c r="N86" t="n">
        <v>2117.55</v>
      </c>
      <c r="P86" t="n">
        <v>329</v>
      </c>
      <c r="Q86" t="n">
        <v>1690.8</v>
      </c>
      <c r="S86" t="n">
        <v>281</v>
      </c>
      <c r="T86" t="n">
        <v>2097.75</v>
      </c>
      <c r="V86" t="inlineStr"/>
      <c r="W86" t="inlineStr">
        <is>
          <t>S</t>
        </is>
      </c>
      <c r="X86" t="n">
        <v>1352.8</v>
      </c>
      <c r="Y86" t="n">
        <v>956.85</v>
      </c>
      <c r="Z86" t="n">
        <v>52.56</v>
      </c>
    </row>
    <row r="87">
      <c r="M87" t="n">
        <v>351</v>
      </c>
      <c r="N87" t="n">
        <v>1740.7</v>
      </c>
      <c r="P87" t="n">
        <v>339</v>
      </c>
      <c r="Q87" t="n">
        <v>1769.2</v>
      </c>
      <c r="S87" t="n">
        <v>291</v>
      </c>
      <c r="T87" t="n">
        <v>2244.95</v>
      </c>
      <c r="V87" t="inlineStr">
        <is>
          <t>20:00</t>
        </is>
      </c>
      <c r="W87" t="inlineStr">
        <is>
          <t>M</t>
        </is>
      </c>
      <c r="X87" t="n">
        <v>0</v>
      </c>
      <c r="Y87" t="n">
        <v>0</v>
      </c>
      <c r="Z87" t="n">
        <v>34.3</v>
      </c>
    </row>
    <row r="88">
      <c r="M88" t="n">
        <v>382</v>
      </c>
      <c r="N88" t="n">
        <v>1975.1</v>
      </c>
      <c r="P88" t="n">
        <v>346</v>
      </c>
      <c r="Q88" t="n">
        <v>1746.1</v>
      </c>
      <c r="S88" t="n">
        <v>272</v>
      </c>
      <c r="T88" t="n">
        <v>2154.7</v>
      </c>
      <c r="V88" t="inlineStr"/>
      <c r="W88" t="inlineStr">
        <is>
          <t>T</t>
        </is>
      </c>
      <c r="X88" t="n">
        <v>0</v>
      </c>
      <c r="Y88" t="n">
        <v>326.25</v>
      </c>
      <c r="Z88" t="n">
        <v>16.45</v>
      </c>
    </row>
    <row r="89">
      <c r="M89" t="n">
        <v>363</v>
      </c>
      <c r="N89" t="n">
        <v>1861.55</v>
      </c>
      <c r="P89" t="n">
        <v>344</v>
      </c>
      <c r="Q89" t="n">
        <v>1676.7</v>
      </c>
      <c r="S89" t="n">
        <v>324</v>
      </c>
      <c r="T89" t="n">
        <v>2437.4</v>
      </c>
      <c r="V89" t="inlineStr"/>
      <c r="W89" t="inlineStr">
        <is>
          <t>W</t>
        </is>
      </c>
      <c r="X89" t="n">
        <v>0</v>
      </c>
      <c r="Y89" t="n">
        <v>375.58</v>
      </c>
      <c r="Z89" t="n">
        <v>8.75</v>
      </c>
    </row>
    <row r="90">
      <c r="M90" t="n">
        <v>351</v>
      </c>
      <c r="N90" t="n">
        <v>1758.1</v>
      </c>
      <c r="P90" t="n">
        <v>282</v>
      </c>
      <c r="Q90" t="n">
        <v>1445.85</v>
      </c>
      <c r="S90" t="n">
        <v>285</v>
      </c>
      <c r="T90" t="n">
        <v>1524.95</v>
      </c>
      <c r="V90" t="inlineStr"/>
      <c r="W90" t="inlineStr">
        <is>
          <t>T</t>
        </is>
      </c>
      <c r="X90" t="n">
        <v>0</v>
      </c>
      <c r="Y90" t="n">
        <v>192.05</v>
      </c>
      <c r="Z90" t="n">
        <v>42.3</v>
      </c>
    </row>
    <row r="91">
      <c r="M91" t="n">
        <v>349</v>
      </c>
      <c r="N91" t="n">
        <v>1852.75</v>
      </c>
      <c r="P91" t="n">
        <v>256</v>
      </c>
      <c r="Q91" t="n">
        <v>1298.55</v>
      </c>
      <c r="S91" t="n">
        <v>234</v>
      </c>
      <c r="T91" t="n">
        <v>1299.45</v>
      </c>
      <c r="V91" t="inlineStr"/>
      <c r="W91" t="inlineStr">
        <is>
          <t>F</t>
        </is>
      </c>
      <c r="X91" t="n">
        <v>0</v>
      </c>
      <c r="Y91" t="n">
        <v>245.48</v>
      </c>
      <c r="Z91" t="n">
        <v>30.95</v>
      </c>
    </row>
    <row r="92">
      <c r="M92" t="n">
        <v>321</v>
      </c>
      <c r="N92" t="n">
        <v>1807.65</v>
      </c>
      <c r="P92" t="n">
        <v>247</v>
      </c>
      <c r="Q92" t="n">
        <v>1904.93</v>
      </c>
      <c r="S92" t="n">
        <v>249</v>
      </c>
      <c r="T92" t="n">
        <v>1768.74</v>
      </c>
      <c r="V92" t="inlineStr"/>
      <c r="W92" t="inlineStr">
        <is>
          <t>S</t>
        </is>
      </c>
      <c r="X92" t="n">
        <v>0</v>
      </c>
      <c r="Y92" t="n">
        <v>274.25</v>
      </c>
      <c r="Z92" t="n">
        <v>28.5</v>
      </c>
    </row>
    <row r="93">
      <c r="V93" t="inlineStr"/>
      <c r="W93" t="inlineStr">
        <is>
          <t>S</t>
        </is>
      </c>
      <c r="X93" t="n">
        <v>0</v>
      </c>
      <c r="Y93" t="n">
        <v>337.33</v>
      </c>
      <c r="Z93" t="n">
        <v>7.15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5" customWidth="1" min="3" max="3"/>
    <col width="65" customWidth="1" min="4" max="4"/>
  </cols>
  <sheetData>
    <row r="1" ht="60" customHeight="1">
      <c r="A1" s="2" t="inlineStr">
        <is>
          <t>Key Observations</t>
        </is>
      </c>
    </row>
    <row r="3" ht="36" customHeight="1">
      <c r="A3" s="3" t="inlineStr">
        <is>
          <t>Automated findings highlighting significant trends and patterns with identified areas for investigation.</t>
        </is>
      </c>
    </row>
    <row r="4" ht="30" customHeight="1">
      <c r="A4" t="inlineStr"/>
    </row>
    <row r="5">
      <c r="A5" s="3" t="inlineStr">
        <is>
          <t>Observation</t>
        </is>
      </c>
      <c r="B5" s="3" t="inlineStr">
        <is>
          <t>Metric</t>
        </is>
      </c>
      <c r="C5" s="3" t="inlineStr">
        <is>
          <t>Finding</t>
        </is>
      </c>
      <c r="D5" s="3" t="inlineStr">
        <is>
          <t>Suggested Investigation</t>
        </is>
      </c>
    </row>
    <row r="6" ht="45" customHeight="1">
      <c r="A6" s="6" t="inlineStr">
        <is>
          <t>Category concentration</t>
        </is>
      </c>
      <c r="B6" s="6" t="inlineStr">
        <is>
          <t>38.5%</t>
        </is>
      </c>
      <c r="C6" s="6" t="inlineStr">
        <is>
          <t>Coffee accounted for 38.5% of quarterly revenue.</t>
        </is>
      </c>
      <c r="D6" s="6" t="inlineStr">
        <is>
          <t>Review whether revenue is overly dependent on this category and which products drive its performance.</t>
        </is>
      </c>
    </row>
    <row r="7" ht="45" customHeight="1">
      <c r="A7" s="6" t="inlineStr">
        <is>
          <t>Time-of-day concentration</t>
        </is>
      </c>
      <c r="B7" s="6" t="inlineStr">
        <is>
          <t>36.7%</t>
        </is>
      </c>
      <c r="C7" s="6" t="inlineStr">
        <is>
          <t>Morning generated 36.7% of quarterly revenue.</t>
        </is>
      </c>
      <c r="D7" s="6" t="inlineStr">
        <is>
          <t>Review whether staffing, inventory, and operations are aligned with demand during this period.</t>
        </is>
      </c>
    </row>
    <row r="8" ht="45" customHeight="1">
      <c r="A8" s="6" t="inlineStr">
        <is>
          <t>Low-demand time period</t>
        </is>
      </c>
      <c r="B8" s="6" t="inlineStr">
        <is>
          <t>12.1%</t>
        </is>
      </c>
      <c r="C8" s="6" t="inlineStr">
        <is>
          <t>Lunch generated only 12.1% of quarterly revenue.</t>
        </is>
      </c>
      <c r="D8" s="6" t="inlineStr">
        <is>
          <t>Investigate whether low demand is consistent across locations and whether the period warrants attention.</t>
        </is>
      </c>
    </row>
    <row r="9" ht="45" customHeight="1">
      <c r="A9" s="6" t="inlineStr">
        <is>
          <t>Low-demand time period</t>
        </is>
      </c>
      <c r="B9" s="6" t="inlineStr">
        <is>
          <t>11.9%</t>
        </is>
      </c>
      <c r="C9" s="6" t="inlineStr">
        <is>
          <t>Afternoon generated only 11.9% of quarterly revenue.</t>
        </is>
      </c>
      <c r="D9" s="6" t="inlineStr">
        <is>
          <t>Investigate whether low demand is consistent across locations and whether the period warrants attention.</t>
        </is>
      </c>
    </row>
    <row r="10" ht="45" customHeight="1">
      <c r="A10" s="6" t="inlineStr">
        <is>
          <t>Time-of-day concentration</t>
        </is>
      </c>
      <c r="B10" s="6" t="inlineStr">
        <is>
          <t>39.3%</t>
        </is>
      </c>
      <c r="C10" s="6" t="inlineStr">
        <is>
          <t>Evening generated 39.3% of quarterly revenue.</t>
        </is>
      </c>
      <c r="D10" s="6" t="inlineStr">
        <is>
          <t>Review whether staffing, inventory, and operations are aligned with demand during this period.</t>
        </is>
      </c>
    </row>
    <row r="11" ht="45" customHeight="1">
      <c r="A11" s="6" t="inlineStr">
        <is>
          <t>Peak hour</t>
        </is>
      </c>
      <c r="B11" s="6" t="inlineStr">
        <is>
          <t>89.0% above average</t>
        </is>
      </c>
      <c r="C11" s="6" t="inlineStr">
        <is>
          <t>10:00 generated 89.0% more revenue than the average hour.</t>
        </is>
      </c>
      <c r="D11" s="6" t="inlineStr">
        <is>
          <t>Review staffing and inventory requirements around the peak hour.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2026-09-15T04:09:12Z</dcterms:created>
  <dcterms:modified xsi:type="dcterms:W3CDTF">2026-09-15T04:09:12Z</dcterms:modified>
</cp:coreProperties>
</file>